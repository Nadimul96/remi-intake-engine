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Revenue" sheetId="2" r:id="rId2"/>
    <sheet name="Expenses" sheetId="3" r:id="rId3"/>
    <sheet name="Cash Flow" sheetId="4" r:id="rId4"/>
    <sheet name="Retur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ASSUMPTIONS - ALEX v3 (November 2020)</v>
      </c>
      <c r="B1" t="str">
        <v/>
      </c>
      <c r="C1" t="str">
        <v/>
      </c>
      <c r="D1" t="str">
        <v/>
      </c>
      <c r="E1" t="str">
        <v>AGGRESSIVE ALTERNATIVE - NOT APPROVED</v>
      </c>
    </row>
    <row r="2">
      <c r="A2" t="str">
        <v>Category</v>
      </c>
      <c r="B2" t="str">
        <v>Input</v>
      </c>
      <c r="C2" t="str">
        <v>Unit</v>
      </c>
      <c r="D2" t="str">
        <v>Notes</v>
      </c>
    </row>
    <row r="3">
      <c r="A3" t="str">
        <v>ACQUISITION</v>
      </c>
    </row>
    <row r="4">
      <c r="A4" t="str">
        <v>Purchase_Price</v>
      </c>
      <c r="B4">
        <v>41200000</v>
      </c>
      <c r="C4" t="str">
        <v>USD</v>
      </c>
      <c r="D4" t="str">
        <v>Same as v2</v>
      </c>
    </row>
    <row r="5">
      <c r="A5" t="str">
        <v>Closing_Costs_Pct</v>
      </c>
      <c r="B5">
        <v>0.02</v>
      </c>
      <c r="C5" t="str">
        <v>decimal</v>
      </c>
      <c r="D5" t="str">
        <v>2% of purchase</v>
      </c>
    </row>
    <row r="6">
      <c r="A6" t="str">
        <v>Total_Cost</v>
      </c>
      <c r="B6" t="str">
        <v>=B5*(1+B6)</v>
      </c>
      <c r="C6" t="str">
        <v>USD</v>
      </c>
      <c r="D6" t="str">
        <v>Auto-calculated</v>
      </c>
    </row>
    <row r="7">
      <c r="A7" t="str">
        <v/>
      </c>
      <c r="B7">
        <f>B5*(1+B6)</f>
      </c>
    </row>
    <row r="8">
      <c r="A8" t="str">
        <v>PROPERTY</v>
      </c>
    </row>
    <row r="9">
      <c r="A9" t="str">
        <v>Units</v>
      </c>
      <c r="B9">
        <v>232</v>
      </c>
      <c r="C9" t="str">
        <v>units</v>
      </c>
      <c r="D9" t="str">
        <v/>
      </c>
    </row>
    <row r="10">
      <c r="A10" t="str">
        <v>Price_per_Unit</v>
      </c>
      <c r="B10" t="str">
        <v>=B5/B11</v>
      </c>
      <c r="C10" t="str">
        <v>USD</v>
      </c>
      <c r="D10" t="str">
        <v>Auto-calculated</v>
      </c>
    </row>
    <row r="11">
      <c r="A11" t="str">
        <v/>
      </c>
    </row>
    <row r="12">
      <c r="A12" t="str">
        <v>REVENUE - MORE AGGRESSIVE</v>
      </c>
      <c r="B12">
        <f>B5/B11</f>
      </c>
    </row>
    <row r="13">
      <c r="A13" t="str">
        <v>Year1_Market_Rent</v>
      </c>
      <c r="B13">
        <v>1310</v>
      </c>
      <c r="C13" t="str">
        <v>USD/unit/month</v>
      </c>
      <c r="D13" t="str">
        <v>Same base as Priya</v>
      </c>
    </row>
    <row r="14">
      <c r="A14" t="str">
        <v>Rent_Growth</v>
      </c>
      <c r="B14">
        <v>0.035</v>
      </c>
      <c r="C14" t="str">
        <v>decimal</v>
      </c>
      <c r="D14" t="str">
        <v>3.5% - Axiometrics shows 3.8%</v>
      </c>
    </row>
    <row r="15">
      <c r="A15" t="str">
        <v>Physical_Vacancy</v>
      </c>
      <c r="B15">
        <v>0.065</v>
      </c>
      <c r="C15" t="str">
        <v>decimal</v>
      </c>
      <c r="D15" t="str">
        <v>6.5% - more optimistic</v>
      </c>
    </row>
    <row r="16">
      <c r="A16" t="str">
        <v>Economic_Vacancy</v>
      </c>
      <c r="B16">
        <v>0.02</v>
      </c>
      <c r="C16" t="str">
        <v>decimal</v>
      </c>
      <c r="D16" t="str">
        <v>2.0% - more optimistic</v>
      </c>
    </row>
    <row r="17">
      <c r="A17" t="str">
        <v>Other_Income_per_Unit</v>
      </c>
      <c r="B17">
        <v>222</v>
      </c>
      <c r="C17" t="str">
        <v>USD/unit/month</v>
      </c>
      <c r="D17" t="str">
        <v>+$32 storage upside</v>
      </c>
    </row>
    <row r="18">
      <c r="A18" t="str">
        <v/>
      </c>
    </row>
    <row r="19">
      <c r="A19" t="str">
        <v>EXPENSES</v>
      </c>
    </row>
    <row r="20">
      <c r="A20" t="str">
        <v>Mgmt_Fee_Pct</v>
      </c>
      <c r="B20">
        <v>0.05</v>
      </c>
      <c r="C20" t="str">
        <v>decimal</v>
      </c>
      <c r="D20" t="str">
        <v>5.0% - standard quote</v>
      </c>
    </row>
    <row r="21">
      <c r="A21" t="str">
        <v>OpEx_per_Unit</v>
      </c>
      <c r="B21">
        <v>7200</v>
      </c>
      <c r="C21" t="str">
        <v>USD/unit/year</v>
      </c>
      <c r="D21" t="str">
        <v/>
      </c>
    </row>
    <row r="22">
      <c r="A22" t="str">
        <v>Expense_Growth</v>
      </c>
      <c r="B22">
        <v>0.02</v>
      </c>
      <c r="C22" t="str">
        <v>decimal</v>
      </c>
      <c r="D22" t="str">
        <v>2.0% - more optimistic</v>
      </c>
    </row>
    <row r="23">
      <c r="A23" t="str">
        <v/>
      </c>
    </row>
    <row r="24">
      <c r="A24" t="str">
        <v>EXIT</v>
      </c>
    </row>
    <row r="25">
      <c r="A25" t="str">
        <v>Exit_Cap_Rate</v>
      </c>
      <c r="B25">
        <v>0.0625</v>
      </c>
      <c r="C25" t="str">
        <v>decimal</v>
      </c>
      <c r="D25" t="str">
        <v>6.25% - conservative exit</v>
      </c>
    </row>
    <row r="26">
      <c r="A26" t="str">
        <v>Hold_Period</v>
      </c>
      <c r="B26">
        <v>5</v>
      </c>
      <c r="C26" t="str">
        <v>years</v>
      </c>
      <c r="D26" t="str">
        <v/>
      </c>
    </row>
    <row r="27">
      <c r="A27" t="str">
        <v/>
      </c>
    </row>
    <row r="28">
      <c r="A28" t="str">
        <v>FINANCING</v>
      </c>
    </row>
    <row r="29">
      <c r="A29" t="str">
        <v>Loan_Amount</v>
      </c>
      <c r="B29">
        <v>13800000</v>
      </c>
      <c r="C29" t="str">
        <v>USD</v>
      </c>
      <c r="D29" t="str">
        <v>75% LTV</v>
      </c>
    </row>
    <row r="30">
      <c r="A30" t="str">
        <v>Interest_Rate</v>
      </c>
      <c r="B30">
        <v>0.0425</v>
      </c>
      <c r="C30" t="str">
        <v>decimal</v>
      </c>
      <c r="D30" t="str">
        <v>4.25%</v>
      </c>
    </row>
    <row r="31">
      <c r="A31" t="str">
        <v>Loan_Term</v>
      </c>
      <c r="B31">
        <v>5</v>
      </c>
      <c r="C31" t="str">
        <v>years</v>
      </c>
      <c r="D31" t="str">
        <v/>
      </c>
    </row>
    <row r="32">
      <c r="A32" t="str">
        <v>IO_Period</v>
      </c>
      <c r="B32">
        <v>5</v>
      </c>
      <c r="C32" t="str">
        <v>years</v>
      </c>
      <c r="D32" t="str">
        <v>Full term IO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REVENUE SCHEDULE - ALEX v3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</row>
    <row r="3">
      <c r="A3" t="str">
        <v/>
      </c>
    </row>
    <row r="4">
      <c r="A4" t="str">
        <v>Market Rent</v>
      </c>
      <c r="B4" t="str">
        <v>=Assumptions!$B$14</v>
      </c>
      <c r="C4" t="str">
        <v>=B5*(1+Assumptions!$B$15)</v>
      </c>
      <c r="D4" t="str">
        <v>=C5*(1+Assumptions!$B$15)</v>
      </c>
      <c r="E4" t="str">
        <v>=D5*(1+Assumptions!$B$15)</v>
      </c>
      <c r="F4" t="str">
        <v>=E5*(1+Assumptions!$B$15)</v>
      </c>
    </row>
    <row r="5">
      <c r="A5" t="str">
        <v>GPR (Annual)</v>
      </c>
      <c r="B5" t="str">
        <v>=B5*Assumptions!$B$11*12</v>
      </c>
      <c r="C5" t="str">
        <v>=C5*Assumptions!$B$11*12</v>
      </c>
      <c r="D5" t="str">
        <v>=D5*Assumptions!$B$11*12</v>
      </c>
      <c r="E5" t="str">
        <v>=E5*Assumptions!$B$11*12</v>
      </c>
      <c r="F5" t="str">
        <v>=F5*Assumptions!$B$11*12</v>
      </c>
    </row>
    <row r="6">
      <c r="A6" t="str">
        <v>Physical Vacancy</v>
      </c>
      <c r="B6" t="str">
        <v>=B7*Assumptions!$B$16</v>
      </c>
      <c r="C6" t="str">
        <v>=C7*Assumptions!$B$16</v>
      </c>
      <c r="D6" t="str">
        <v>=D7*Assumptions!$B$16</v>
      </c>
      <c r="E6" t="str">
        <v>=E7*Assumptions!$B$16</v>
      </c>
      <c r="F6" t="str">
        <v>=F7*Assumptions!$B$16</v>
      </c>
    </row>
    <row r="7">
      <c r="A7" t="str">
        <v>Economic Vacancy</v>
      </c>
      <c r="B7" t="str">
        <v>=B7*Assumptions!$B$17</v>
      </c>
      <c r="C7" t="str">
        <v>=C7*Assumptions!$B$17</v>
      </c>
      <c r="D7" t="str">
        <v>=D7*Assumptions!$B$17</v>
      </c>
      <c r="E7" t="str">
        <v>=E7*Assumptions!$B$17</v>
      </c>
      <c r="F7" t="str">
        <v>=F7*Assumptions!$B$17</v>
      </c>
    </row>
    <row r="8">
      <c r="A8" t="str">
        <v>Total Vacancy</v>
      </c>
      <c r="B8" t="str">
        <v>=B8+B9</v>
      </c>
      <c r="C8" t="str">
        <v>=C8+C9</v>
      </c>
      <c r="D8" t="str">
        <v>=D8+D9</v>
      </c>
      <c r="E8" t="str">
        <v>=E8+E9</v>
      </c>
      <c r="F8" t="str">
        <v>=F8+F9</v>
      </c>
    </row>
    <row r="9">
      <c r="A9" t="str">
        <v>Effective Gross Rent</v>
      </c>
      <c r="B9" t="str">
        <v>=B7-B10</v>
      </c>
      <c r="C9" t="str">
        <v>=C7-C10</v>
      </c>
      <c r="D9" t="str">
        <v>=D7-D10</v>
      </c>
      <c r="E9" t="str">
        <v>=E7-E10</v>
      </c>
      <c r="F9" t="str">
        <v>=F7-F10</v>
      </c>
    </row>
    <row r="10">
      <c r="A10" t="str">
        <v>Other Income</v>
      </c>
      <c r="B10" t="str">
        <v>=Assumptions!$B$18*Assumptions!$B$11*12</v>
      </c>
      <c r="C10" t="str">
        <v>=Assumptions!$B$18*Assumptions!$B$11*12*(1+Assumptions!$B$15)</v>
      </c>
      <c r="D10" t="str">
        <v>=Assumptions!$B$18*Assumptions!$B$11*12*(1+Assumptions!$B$15)^2</v>
      </c>
      <c r="E10" t="str">
        <v>=Assumptions!$B$18*Assumptions!$B$11*12*(1+Assumptions!$B$15)^3</v>
      </c>
      <c r="F10" t="str">
        <v>=Assumptions!$B$18*Assumptions!$B$11*12*(1+Assumptions!$B$15)^4</v>
      </c>
    </row>
    <row r="11">
      <c r="A11" t="str">
        <v>EFFECTIVE GROSS REVENUE</v>
      </c>
      <c r="B11" t="str">
        <v>=B11+B12</v>
      </c>
      <c r="C11" t="str">
        <v>=C11+C12</v>
      </c>
      <c r="D11" t="str">
        <v>=D11+D12</v>
      </c>
      <c r="E11" t="str">
        <v>=E11+E12</v>
      </c>
      <c r="F11" t="str">
        <v>=F11+F12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OPERATING EXPENSES - ALEX v3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</row>
    <row r="3">
      <c r="A3" t="str">
        <v/>
      </c>
    </row>
    <row r="4">
      <c r="A4" t="str">
        <v>Management Fee</v>
      </c>
      <c r="B4" t="str">
        <v>=Revenue!B13*Assumptions!$B$21</v>
      </c>
      <c r="C4" t="str">
        <v>=Revenue!C13*Assumptions!$B$21</v>
      </c>
      <c r="D4" t="str">
        <v>=Revenue!D13*Assumptions!$B$21</v>
      </c>
      <c r="E4" t="str">
        <v>=Revenue!E13*Assumptions!$B$21</v>
      </c>
      <c r="F4" t="str">
        <v>=Revenue!F13*Assumptions!$B$21</v>
      </c>
    </row>
    <row r="5">
      <c r="A5" t="str">
        <v>Payroll &amp; Benefits</v>
      </c>
      <c r="B5" t="str">
        <v>=Assumptions!$B$22*Assumptions!$B$11</v>
      </c>
      <c r="C5" t="str">
        <v>=B6*(1+Assumptions!$B$23)</v>
      </c>
      <c r="D5" t="str">
        <v>=C6*(1+Assumptions!$B$23)</v>
      </c>
      <c r="E5" t="str">
        <v>=D6*(1+Assumptions!$B$23)</v>
      </c>
      <c r="F5" t="str">
        <v>=E6*(1+Assumptions!$B$23)</v>
      </c>
    </row>
    <row r="6">
      <c r="A6" t="str">
        <v>Repairs &amp; Maintenance</v>
      </c>
      <c r="B6" t="str">
        <v>175000</v>
      </c>
      <c r="C6" t="str">
        <v>=B7*(1+Assumptions!$B$23)</v>
      </c>
      <c r="D6" t="str">
        <v>=C7*(1+Assumptions!$B$23)</v>
      </c>
      <c r="E6" t="str">
        <v>=D7*(1+Assumptions!$B$23)</v>
      </c>
      <c r="F6" t="str">
        <v>=E7*(1+Assumptions!$B$23)</v>
      </c>
    </row>
    <row r="7">
      <c r="A7" t="str">
        <v>Turnover</v>
      </c>
      <c r="B7" t="str">
        <v>40000</v>
      </c>
      <c r="C7" t="str">
        <v>=B8*(1+Assumptions!$B$23)</v>
      </c>
      <c r="D7" t="str">
        <v>=C8*(1+Assumptions!$B$23)</v>
      </c>
      <c r="E7" t="str">
        <v>=D8*(1+Assumptions!$B$23)</v>
      </c>
      <c r="F7" t="str">
        <v>=E8*(1+Assumptions!$B$23)</v>
      </c>
    </row>
    <row r="8">
      <c r="A8" t="str">
        <v>Utilities</v>
      </c>
      <c r="B8" t="str">
        <v>178000</v>
      </c>
      <c r="C8" t="str">
        <v>=B9*(1+Assumptions!$B$23)</v>
      </c>
      <c r="D8" t="str">
        <v>=C9*(1+Assumptions!$B$23)</v>
      </c>
      <c r="E8" t="str">
        <v>=D9*(1+Assumptions!$B$23)</v>
      </c>
      <c r="F8" t="str">
        <v>=E9*(1+Assumptions!$B$23)</v>
      </c>
    </row>
    <row r="9">
      <c r="A9" t="str">
        <v>Insurance</v>
      </c>
      <c r="B9" t="str">
        <v>105000</v>
      </c>
      <c r="C9" t="str">
        <v>=B10*(1+Assumptions!$B$23)</v>
      </c>
      <c r="D9" t="str">
        <v>=C10*(1+Assumptions!$B$23)</v>
      </c>
      <c r="E9" t="str">
        <v>=D10*(1+Assumptions!$B$23)</v>
      </c>
      <c r="F9" t="str">
        <v>=E10*(1+Assumptions!$B$23)</v>
      </c>
    </row>
    <row r="10">
      <c r="A10" t="str">
        <v>Property Taxes</v>
      </c>
      <c r="B10" t="str">
        <v>365000</v>
      </c>
      <c r="C10" t="str">
        <v>=B11*(1+Assumptions!$B$23)</v>
      </c>
      <c r="D10" t="str">
        <v>=C11*(1+Assumptions!$B$23)</v>
      </c>
      <c r="E10" t="str">
        <v>=D11*(1+Assumptions!$B$23)</v>
      </c>
      <c r="F10" t="str">
        <v>=E11*(1+Assumptions!$B$23)</v>
      </c>
    </row>
    <row r="11">
      <c r="A11" t="str">
        <v>Marketing</v>
      </c>
      <c r="B11" t="str">
        <v>13000</v>
      </c>
      <c r="C11" t="str">
        <v>=B12*(1+Assumptions!$B$23)</v>
      </c>
      <c r="D11" t="str">
        <v>=C12*(1+Assumptions!$B$23)</v>
      </c>
      <c r="E11" t="str">
        <v>=D12*(1+Assumptions!$B$23)</v>
      </c>
      <c r="F11" t="str">
        <v>=E12*(1+Assumptions!$B$23)</v>
      </c>
    </row>
    <row r="12">
      <c r="A12" t="str">
        <v>Administrative</v>
      </c>
      <c r="B12" t="str">
        <v>32000</v>
      </c>
      <c r="C12" t="str">
        <v>=B13*(1+Assumptions!$B$23)</v>
      </c>
      <c r="D12" t="str">
        <v>=C13*(1+Assumptions!$B$23)</v>
      </c>
      <c r="E12" t="str">
        <v>=D13*(1+Assumptions!$B$23)</v>
      </c>
      <c r="F12" t="str">
        <v>=E13*(1+Assumptions!$B$23)</v>
      </c>
    </row>
    <row r="13">
      <c r="A13" t="str">
        <v>Contract Services</v>
      </c>
      <c r="B13" t="str">
        <v>118000</v>
      </c>
      <c r="C13" t="str">
        <v>=B14*(1+Assumptions!$B$23)</v>
      </c>
      <c r="D13" t="str">
        <v>=C14*(1+Assumptions!$B$23)</v>
      </c>
      <c r="E13" t="str">
        <v>=D14*(1+Assumptions!$B$23)</v>
      </c>
      <c r="F13" t="str">
        <v>=E14*(1+Assumptions!$B$23)</v>
      </c>
    </row>
    <row r="14">
      <c r="A14" t="str">
        <v>Landscaping</v>
      </c>
      <c r="B14" t="str">
        <v>51000</v>
      </c>
      <c r="C14" t="str">
        <v>=B15*(1+Assumptions!$B$23)</v>
      </c>
      <c r="D14" t="str">
        <v>=C15*(1+Assumptions!$B$23)</v>
      </c>
      <c r="E14" t="str">
        <v>=D15*(1+Assumptions!$B$23)</v>
      </c>
      <c r="F14" t="str">
        <v>=E15*(1+Assumptions!$B$23)</v>
      </c>
    </row>
    <row r="15">
      <c r="A15" t="str">
        <v>TOTAL OPERATING EXPENSES</v>
      </c>
      <c r="B15" t="str">
        <v>=SUM(B5:B15)</v>
      </c>
      <c r="C15" t="str">
        <v>=SUM(C5:C15)</v>
      </c>
      <c r="D15" t="str">
        <v>=SUM(D5:D15)</v>
      </c>
      <c r="E15" t="str">
        <v>=SUM(E5:E15)</v>
      </c>
      <c r="F15" t="str">
        <v>=SUM(F5:F15)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CASH FLOW ANALYSIS - ALEX v3</v>
      </c>
    </row>
    <row r="2">
      <c r="A2" t="str">
        <v>Year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</row>
    <row r="3">
      <c r="A3" t="str">
        <v/>
      </c>
    </row>
    <row r="4">
      <c r="A4" t="str">
        <v>Effective Gross Revenue</v>
      </c>
      <c r="B4" t="str">
        <v/>
      </c>
      <c r="C4" t="str">
        <v>=Revenue!B13</v>
      </c>
      <c r="D4" t="str">
        <v>=Revenue!C13</v>
      </c>
      <c r="E4" t="str">
        <v>=Revenue!D13</v>
      </c>
      <c r="F4" t="str">
        <v>=Revenue!E13</v>
      </c>
      <c r="G4" t="str">
        <v>=Revenue!F13</v>
      </c>
    </row>
    <row r="5">
      <c r="A5" t="str">
        <v>Operating Expenses</v>
      </c>
      <c r="B5" t="str">
        <v/>
      </c>
      <c r="C5" t="str">
        <v>=Expenses!B17</v>
      </c>
      <c r="D5" t="str">
        <v>=Expenses!C17</v>
      </c>
      <c r="E5" t="str">
        <v>=Expenses!D17</v>
      </c>
      <c r="F5" t="str">
        <v>=Expenses!E17</v>
      </c>
      <c r="G5" t="str">
        <v>=Expenses!F17</v>
      </c>
    </row>
    <row r="6">
      <c r="A6" t="str">
        <v>NET OPERATING INCOME</v>
      </c>
      <c r="B6" t="str">
        <v/>
      </c>
      <c r="C6" t="str">
        <v>=B6-B7</v>
      </c>
      <c r="D6" t="str">
        <v>=C6-C7</v>
      </c>
      <c r="E6" t="str">
        <v>=D6-D7</v>
      </c>
      <c r="F6" t="str">
        <v>=E6-E7</v>
      </c>
      <c r="G6" t="str">
        <v>=F6-F7</v>
      </c>
    </row>
    <row r="7">
      <c r="A7" t="str">
        <v/>
      </c>
    </row>
    <row r="8">
      <c r="A8" t="str">
        <v>Debt Service</v>
      </c>
      <c r="B8" t="str">
        <v/>
      </c>
      <c r="C8" t="str">
        <v>=Assumptions!$B$28*Assumptions!$B$29</v>
      </c>
      <c r="D8" t="str">
        <v>=Assumptions!$B$28*Assumptions!$B$29</v>
      </c>
      <c r="E8" t="str">
        <v>=Assumptions!$B$28*Assumptions!$B$29</v>
      </c>
      <c r="F8" t="str">
        <v>=Assumptions!$B$28*Assumptions!$B$29</v>
      </c>
      <c r="G8" t="str">
        <v>=Assumptions!$B$28*Assumptions!$B$29</v>
      </c>
    </row>
    <row r="9">
      <c r="A9" t="str">
        <v>Cash Flow After Debt</v>
      </c>
      <c r="B9" t="str">
        <v/>
      </c>
      <c r="C9" t="str">
        <v>=B9-B11</v>
      </c>
      <c r="D9" t="str">
        <v>=C9-C11</v>
      </c>
      <c r="E9" t="str">
        <v>=D9-D11</v>
      </c>
      <c r="F9" t="str">
        <v>=E9-E11</v>
      </c>
      <c r="G9" t="str">
        <v>=F9-F11</v>
      </c>
    </row>
    <row r="10">
      <c r="A10" t="str">
        <v/>
      </c>
    </row>
    <row r="11">
      <c r="A11" t="str">
        <v>Acquisition Costs</v>
      </c>
      <c r="B11" t="str">
        <v>=Assumptions!$B$7</v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 Proceeds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=(G9/Assumptions!$B$26)*(1-0.02)</v>
      </c>
    </row>
    <row r="13">
      <c r="A13" t="str">
        <v>NET CASH FLOW</v>
      </c>
      <c r="B13" t="str">
        <v>=B14</v>
      </c>
      <c r="C13" t="str">
        <v>=B12</v>
      </c>
      <c r="D13" t="str">
        <v>=C12</v>
      </c>
      <c r="E13" t="str">
        <v>=D12</v>
      </c>
      <c r="F13" t="str">
        <v>=E12</v>
      </c>
      <c r="G13" t="str">
        <v>=F12+G15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RETURNS ANALYSIS - ALEX v3</v>
      </c>
    </row>
    <row r="2">
      <c r="A2" t="str">
        <v/>
      </c>
    </row>
    <row r="3">
      <c r="A3" t="str">
        <v>Levered IRR</v>
      </c>
      <c r="B3" t="str">
        <v>=IRR(CashFlow!B16:G16)</v>
      </c>
    </row>
    <row r="4">
      <c r="A4" t="str">
        <v>Equity Multiple</v>
      </c>
      <c r="B4" t="str">
        <v>=SUM(CashFlow!C16:G16)/-CashFlow!B16</v>
      </c>
    </row>
    <row r="5">
      <c r="A5" t="str">
        <v/>
      </c>
    </row>
    <row r="6">
      <c r="A6" t="str">
        <v>Cash-on-Cash Returns</v>
      </c>
    </row>
    <row r="7">
      <c r="A7" t="str">
        <v>Year 1</v>
      </c>
      <c r="B7" t="str">
        <v>=CashFlow!C12/-CashFlow!$B$16</v>
      </c>
    </row>
    <row r="8">
      <c r="A8" t="str">
        <v>Year 2</v>
      </c>
      <c r="B8" t="str">
        <v>=CashFlow!D12/-CashFlow!$B$16</v>
      </c>
    </row>
    <row r="9">
      <c r="A9" t="str">
        <v>Year 3</v>
      </c>
      <c r="B9" t="str">
        <v>=CashFlow!E12/-CashFlow!$B$16</v>
      </c>
    </row>
    <row r="10">
      <c r="A10" t="str">
        <v>Year 4</v>
      </c>
      <c r="B10" t="str">
        <v>=CashFlow!F12/-CashFlow!$B$16</v>
      </c>
    </row>
    <row r="11">
      <c r="A11" t="str">
        <v>Year 5</v>
      </c>
      <c r="B11" t="str">
        <v>=CashFlow!G12/-CashFlow!$B$16</v>
      </c>
    </row>
    <row r="12">
      <c r="A12" t="str">
        <v/>
      </c>
    </row>
    <row r="13">
      <c r="A13" t="str">
        <v>NOTES:</v>
      </c>
    </row>
    <row r="14">
      <c r="A14" t="str">
        <v>This model uses actual Excel formulas.</v>
      </c>
    </row>
    <row r="15">
      <c r="A15" t="str">
        <v>This is the AGGRESSIVE alternative (NOT APPROVED by IC).</v>
      </c>
    </row>
    <row r="16">
      <c r="A16" t="str">
        <v>Key differences from v2: 3.5% rent growth vs 2.5%, higher other income.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Expenses</vt:lpstr>
      <vt:lpstr>Cash Flow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